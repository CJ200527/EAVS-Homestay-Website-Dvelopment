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65364fd22e5017/Desktop/BSIT 3A 1ST SEM/SIA 101 - SYSTEM INTEGRATION &amp; ARCHITECHTURE 1/EAVS Homestay Website Dvelopment/"/>
    </mc:Choice>
  </mc:AlternateContent>
  <xr:revisionPtr revIDLastSave="18" documentId="8_{CFA91C15-8137-401B-9132-087FDE9B43F8}" xr6:coauthVersionLast="47" xr6:coauthVersionMax="47" xr10:uidLastSave="{80BBE9C9-892F-4089-B53B-BA40F868E33E}"/>
  <bookViews>
    <workbookView minimized="1" xWindow="3225" yWindow="3225" windowWidth="17280" windowHeight="9420" xr2:uid="{03A49EAB-2C71-42D7-BF86-4AE047920E9E}"/>
  </bookViews>
  <sheets>
    <sheet name="Sheet1" sheetId="1" r:id="rId1"/>
  </sheets>
  <definedNames>
    <definedName name="_xlnm.Print_Area" localSheetId="0">Sheet1!$A$1:$W$32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G9" i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B5" i="1"/>
  <c r="B6" i="1" s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C8DEBF7F-C56F-4A36-A9FF-FF4A0EA2B8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Insert Start Date
</t>
        </r>
      </text>
    </comment>
  </commentList>
</comments>
</file>

<file path=xl/sharedStrings.xml><?xml version="1.0" encoding="utf-8"?>
<sst xmlns="http://schemas.openxmlformats.org/spreadsheetml/2006/main" count="33" uniqueCount="33">
  <si>
    <t>Task/Phase</t>
  </si>
  <si>
    <t>Start Date</t>
  </si>
  <si>
    <t>End Date</t>
  </si>
  <si>
    <t>SIA 101 Project Development Gantt Chart</t>
  </si>
  <si>
    <t>Progress</t>
  </si>
  <si>
    <t>Phase 1: Planning &amp; Requirements</t>
  </si>
  <si>
    <t>Task 1: Client Interview &amp; Requirements Gathering</t>
  </si>
  <si>
    <t>Task 2: Gantt Chart &amp; Project Planning</t>
  </si>
  <si>
    <t>Phase 2: Architectural &amp; UI Design</t>
  </si>
  <si>
    <t>Phase 3: Core System Development</t>
  </si>
  <si>
    <t>Phase 4: Systems Integration</t>
  </si>
  <si>
    <t>Phase 5: Testing &amp; Quality Assurance</t>
  </si>
  <si>
    <t>Phase 6: Finalization &amp; Deployment</t>
  </si>
  <si>
    <t>Final Exam</t>
  </si>
  <si>
    <t>Midterm Exam</t>
  </si>
  <si>
    <t>Duration (Days)</t>
  </si>
  <si>
    <t>Project Name:</t>
  </si>
  <si>
    <t>Project Start:</t>
  </si>
  <si>
    <t>Current Date:</t>
  </si>
  <si>
    <t>Weeks in Progress:</t>
  </si>
  <si>
    <t>Web-Based Homestay Booking and Management System for EAVs Homestay</t>
  </si>
  <si>
    <t>Task 3: Database Design (ERD) &amp; Architecture</t>
  </si>
  <si>
    <t>Task 4: UI Mockups &amp; Wireframing</t>
  </si>
  <si>
    <t>Task 5: Frontend Development (Guest Website)</t>
  </si>
  <si>
    <t>Task 6: Backend Development (Admin Dashboard)</t>
  </si>
  <si>
    <t>Task 7: Booking Engine &amp; Calendar Setup</t>
  </si>
  <si>
    <t>Task 8: External API Integrations (Maps/Payments)</t>
  </si>
  <si>
    <t>Task 9: System Bug Testing</t>
  </si>
  <si>
    <t>Task 10: User Acceptance Testing (with your Uncle)</t>
  </si>
  <si>
    <t>Task 11: System Hosting &amp; Deployment</t>
  </si>
  <si>
    <t>Task 12: Final Documentation &amp; Presentation Prep</t>
  </si>
  <si>
    <t>Project Developer:</t>
  </si>
  <si>
    <t>CETRIN JR. M. VALDEHUEZA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</si>
</sst>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W\k\ #"/>
  </numFmts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4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 applyAlignment="1">
      <alignment horizontal="left" indent="2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4" fontId="1" fillId="3" borderId="0" xfId="0" applyNumberFormat="1" applyFont="1" applyFill="1"/>
    <xf numFmtId="14" fontId="1" fillId="3" borderId="0" xfId="0" applyNumberFormat="1" applyFont="1" applyFill="1"/>
    <xf numFmtId="0" fontId="0" fillId="0" borderId="2" xfId="0" applyBorder="1"/>
    <xf numFmtId="0" fontId="0" fillId="2" borderId="2" xfId="0" applyFill="1" applyBorder="1"/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auto="1"/>
          <bgColor theme="9" tint="0.39994506668294322"/>
        </patternFill>
      </fill>
    </dxf>
    <dxf>
      <fill>
        <patternFill>
          <bgColor theme="9" tint="-0.24994659260841701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E7D5-E22D-4A11-AC77-C75A05064DA0}">
  <sheetPr>
    <pageSetUpPr fitToPage="1"/>
  </sheetPr>
  <dimension ref="A1:W32"/>
  <sheetViews>
    <sheetView showGridLines="0" tabSelected="1" zoomScale="85" zoomScaleNormal="85" workbookViewId="0">
      <pane xSplit="5" ySplit="9" topLeftCell="F10" activePane="bottomRight" state="frozen"/>
      <selection pane="topRight" activeCell="F1" sqref="F1"/>
      <selection pane="bottomLeft" activeCell="A9" sqref="A9"/>
      <selection pane="bottomRight" activeCell="B5" sqref="B5"/>
    </sheetView>
  </sheetViews>
  <sheetFormatPr defaultRowHeight="15" x14ac:dyDescent="0.25"/>
  <cols>
    <col min="1" max="1" width="44" customWidth="1"/>
    <col min="2" max="2" width="17" customWidth="1"/>
    <col min="3" max="3" width="13.140625" customWidth="1"/>
    <col min="4" max="4" width="18.42578125" bestFit="1" customWidth="1"/>
    <col min="5" max="5" width="10.28515625" bestFit="1" customWidth="1"/>
    <col min="6" max="7" width="9.28515625" bestFit="1" customWidth="1"/>
    <col min="9" max="12" width="9.28515625" bestFit="1" customWidth="1"/>
    <col min="13" max="15" width="10.28515625" bestFit="1" customWidth="1"/>
    <col min="16" max="17" width="9.28515625" bestFit="1" customWidth="1"/>
    <col min="18" max="20" width="10.28515625" bestFit="1" customWidth="1"/>
    <col min="21" max="21" width="9.28515625" bestFit="1" customWidth="1"/>
    <col min="22" max="23" width="10.28515625" bestFit="1" customWidth="1"/>
  </cols>
  <sheetData>
    <row r="1" spans="1:23" ht="26.25" x14ac:dyDescent="0.4">
      <c r="A1" s="27" t="s">
        <v>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5.75" x14ac:dyDescent="0.25">
      <c r="A2" s="2" t="s">
        <v>16</v>
      </c>
      <c r="B2" s="3" t="s">
        <v>20</v>
      </c>
    </row>
    <row r="3" spans="1:23" ht="15.75" x14ac:dyDescent="0.25">
      <c r="A3" s="2" t="s">
        <v>31</v>
      </c>
      <c r="B3" s="3" t="s">
        <v>32</v>
      </c>
    </row>
    <row r="4" spans="1:23" ht="15.75" x14ac:dyDescent="0.25">
      <c r="A4" s="2" t="s">
        <v>17</v>
      </c>
      <c r="B4" s="25">
        <v>46254</v>
      </c>
    </row>
    <row r="5" spans="1:23" ht="15.75" x14ac:dyDescent="0.25">
      <c r="A5" s="2" t="s">
        <v>18</v>
      </c>
      <c r="B5" s="25">
        <f ca="1">+TODAY()</f>
        <v>46314</v>
      </c>
    </row>
    <row r="6" spans="1:23" ht="15.75" x14ac:dyDescent="0.25">
      <c r="A6" s="2" t="s">
        <v>19</v>
      </c>
      <c r="B6" s="26">
        <f ca="1">ROUNDUP((B5-B4)/7,0)</f>
        <v>9</v>
      </c>
    </row>
    <row r="8" spans="1:23" s="4" customFormat="1" x14ac:dyDescent="0.25">
      <c r="F8" s="22">
        <f>B4</f>
        <v>46254</v>
      </c>
      <c r="G8" s="22">
        <f t="shared" ref="G8:W8" si="0">F8+7</f>
        <v>46261</v>
      </c>
      <c r="H8" s="22">
        <f t="shared" si="0"/>
        <v>46268</v>
      </c>
      <c r="I8" s="22">
        <f t="shared" si="0"/>
        <v>46275</v>
      </c>
      <c r="J8" s="22">
        <f t="shared" si="0"/>
        <v>46282</v>
      </c>
      <c r="K8" s="22">
        <f t="shared" si="0"/>
        <v>46289</v>
      </c>
      <c r="L8" s="22">
        <f t="shared" si="0"/>
        <v>46296</v>
      </c>
      <c r="M8" s="22">
        <f t="shared" si="0"/>
        <v>46303</v>
      </c>
      <c r="N8" s="22">
        <f t="shared" si="0"/>
        <v>46310</v>
      </c>
      <c r="O8" s="22">
        <f t="shared" si="0"/>
        <v>46317</v>
      </c>
      <c r="P8" s="22">
        <f t="shared" si="0"/>
        <v>46324</v>
      </c>
      <c r="Q8" s="22">
        <f t="shared" si="0"/>
        <v>46331</v>
      </c>
      <c r="R8" s="22">
        <f t="shared" si="0"/>
        <v>46338</v>
      </c>
      <c r="S8" s="22">
        <f t="shared" si="0"/>
        <v>46345</v>
      </c>
      <c r="T8" s="22">
        <f t="shared" si="0"/>
        <v>46352</v>
      </c>
      <c r="U8" s="22">
        <f t="shared" si="0"/>
        <v>46359</v>
      </c>
      <c r="V8" s="22">
        <f t="shared" si="0"/>
        <v>46366</v>
      </c>
      <c r="W8" s="22">
        <f t="shared" si="0"/>
        <v>46373</v>
      </c>
    </row>
    <row r="9" spans="1:23" s="4" customFormat="1" ht="15.75" x14ac:dyDescent="0.25">
      <c r="A9" s="5" t="s">
        <v>0</v>
      </c>
      <c r="B9" s="5" t="s">
        <v>1</v>
      </c>
      <c r="C9" s="5" t="s">
        <v>2</v>
      </c>
      <c r="D9" s="5" t="s">
        <v>15</v>
      </c>
      <c r="E9" s="5" t="s">
        <v>4</v>
      </c>
      <c r="F9" s="21">
        <v>1</v>
      </c>
      <c r="G9" s="21">
        <f>F9+1</f>
        <v>2</v>
      </c>
      <c r="H9" s="21">
        <f>G9+1</f>
        <v>3</v>
      </c>
      <c r="I9" s="21">
        <f t="shared" ref="I9:W9" si="1">H9+1</f>
        <v>4</v>
      </c>
      <c r="J9" s="21">
        <f t="shared" si="1"/>
        <v>5</v>
      </c>
      <c r="K9" s="21">
        <f t="shared" si="1"/>
        <v>6</v>
      </c>
      <c r="L9" s="21">
        <f t="shared" si="1"/>
        <v>7</v>
      </c>
      <c r="M9" s="21">
        <f t="shared" si="1"/>
        <v>8</v>
      </c>
      <c r="N9" s="21">
        <f t="shared" si="1"/>
        <v>9</v>
      </c>
      <c r="O9" s="21">
        <f t="shared" si="1"/>
        <v>10</v>
      </c>
      <c r="P9" s="21">
        <f t="shared" si="1"/>
        <v>11</v>
      </c>
      <c r="Q9" s="21">
        <f t="shared" si="1"/>
        <v>12</v>
      </c>
      <c r="R9" s="21">
        <f t="shared" si="1"/>
        <v>13</v>
      </c>
      <c r="S9" s="21">
        <f t="shared" si="1"/>
        <v>14</v>
      </c>
      <c r="T9" s="21">
        <f t="shared" si="1"/>
        <v>15</v>
      </c>
      <c r="U9" s="21">
        <f t="shared" si="1"/>
        <v>16</v>
      </c>
      <c r="V9" s="21">
        <f t="shared" si="1"/>
        <v>17</v>
      </c>
      <c r="W9" s="21">
        <f t="shared" si="1"/>
        <v>18</v>
      </c>
    </row>
    <row r="10" spans="1:23" s="1" customFormat="1" ht="15.75" x14ac:dyDescent="0.25">
      <c r="A10" s="6" t="s">
        <v>5</v>
      </c>
      <c r="B10" s="7"/>
      <c r="C10" s="7"/>
      <c r="D10" s="8"/>
      <c r="E10" s="8"/>
    </row>
    <row r="11" spans="1:23" ht="15.75" x14ac:dyDescent="0.25">
      <c r="A11" s="9" t="s">
        <v>6</v>
      </c>
      <c r="B11" s="10">
        <v>46254</v>
      </c>
      <c r="C11" s="10">
        <v>46264</v>
      </c>
      <c r="D11" s="11">
        <f t="shared" ref="D11:D32" si="2">IF(B11="","",C11-B11)</f>
        <v>10</v>
      </c>
      <c r="E11" s="12">
        <v>1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ht="15.75" x14ac:dyDescent="0.25">
      <c r="A12" s="9" t="s">
        <v>7</v>
      </c>
      <c r="B12" s="10">
        <v>46265</v>
      </c>
      <c r="C12" s="10">
        <v>46271</v>
      </c>
      <c r="D12" s="11">
        <f t="shared" si="2"/>
        <v>6</v>
      </c>
      <c r="E12" s="12">
        <v>1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s="1" customFormat="1" ht="15.75" x14ac:dyDescent="0.25">
      <c r="A13" s="6" t="s">
        <v>8</v>
      </c>
      <c r="B13" s="13"/>
      <c r="C13" s="13"/>
      <c r="D13" s="14" t="str">
        <f t="shared" si="2"/>
        <v/>
      </c>
      <c r="E13" s="15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ht="15.75" x14ac:dyDescent="0.25">
      <c r="A14" s="9" t="s">
        <v>21</v>
      </c>
      <c r="B14" s="10">
        <v>46272</v>
      </c>
      <c r="C14" s="10">
        <v>46285</v>
      </c>
      <c r="D14" s="11">
        <f t="shared" si="2"/>
        <v>13</v>
      </c>
      <c r="E14" s="12">
        <v>0.9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 ht="15.75" x14ac:dyDescent="0.25">
      <c r="A15" s="9" t="s">
        <v>22</v>
      </c>
      <c r="B15" s="10">
        <v>46286</v>
      </c>
      <c r="C15" s="10">
        <v>46293</v>
      </c>
      <c r="D15" s="11">
        <f t="shared" si="2"/>
        <v>7</v>
      </c>
      <c r="E15" s="12">
        <v>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.75" x14ac:dyDescent="0.25">
      <c r="A16" s="16" t="s">
        <v>14</v>
      </c>
      <c r="B16" s="17">
        <v>46294</v>
      </c>
      <c r="C16" s="17">
        <v>46298</v>
      </c>
      <c r="D16" s="11">
        <f t="shared" si="2"/>
        <v>4</v>
      </c>
      <c r="E16" s="12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s="1" customFormat="1" ht="15.75" x14ac:dyDescent="0.25">
      <c r="A17" s="6" t="s">
        <v>9</v>
      </c>
      <c r="B17" s="13"/>
      <c r="C17" s="13"/>
      <c r="D17" s="14" t="str">
        <f t="shared" si="2"/>
        <v/>
      </c>
      <c r="E17" s="15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ht="15.75" x14ac:dyDescent="0.25">
      <c r="A18" s="9" t="s">
        <v>23</v>
      </c>
      <c r="B18" s="10">
        <v>46300</v>
      </c>
      <c r="C18" s="10">
        <v>46313</v>
      </c>
      <c r="D18" s="11">
        <f t="shared" si="2"/>
        <v>13</v>
      </c>
      <c r="E18" s="12">
        <v>0.95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ht="15.75" x14ac:dyDescent="0.25">
      <c r="A19" s="9" t="s">
        <v>24</v>
      </c>
      <c r="B19" s="10">
        <v>46314</v>
      </c>
      <c r="C19" s="10">
        <v>46327</v>
      </c>
      <c r="D19" s="11">
        <f t="shared" si="2"/>
        <v>13</v>
      </c>
      <c r="E19" s="12">
        <v>0.9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ht="15.75" x14ac:dyDescent="0.25">
      <c r="A20" s="18"/>
      <c r="B20" s="19"/>
      <c r="C20" s="19"/>
      <c r="D20" s="11" t="str">
        <f t="shared" si="2"/>
        <v/>
      </c>
      <c r="E20" s="1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s="1" customFormat="1" ht="15.75" x14ac:dyDescent="0.25">
      <c r="A21" s="6" t="s">
        <v>10</v>
      </c>
      <c r="B21" s="13"/>
      <c r="C21" s="13"/>
      <c r="D21" s="14" t="str">
        <f t="shared" si="2"/>
        <v/>
      </c>
      <c r="E21" s="15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ht="15.75" x14ac:dyDescent="0.25">
      <c r="A22" s="9" t="s">
        <v>25</v>
      </c>
      <c r="B22" s="10">
        <v>46328</v>
      </c>
      <c r="C22" s="10">
        <v>46351</v>
      </c>
      <c r="D22" s="11">
        <f t="shared" si="2"/>
        <v>23</v>
      </c>
      <c r="E22" s="12">
        <v>0.8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 ht="15.75" x14ac:dyDescent="0.25">
      <c r="A23" s="9" t="s">
        <v>26</v>
      </c>
      <c r="B23" s="10">
        <v>46342</v>
      </c>
      <c r="C23" s="10">
        <v>46348</v>
      </c>
      <c r="D23" s="11">
        <f t="shared" si="2"/>
        <v>6</v>
      </c>
      <c r="E23" s="12">
        <v>0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ht="15.75" x14ac:dyDescent="0.25">
      <c r="A24" s="18"/>
      <c r="B24" s="19"/>
      <c r="C24" s="19"/>
      <c r="D24" s="11" t="str">
        <f t="shared" si="2"/>
        <v/>
      </c>
      <c r="E24" s="1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 s="1" customFormat="1" ht="15.75" x14ac:dyDescent="0.25">
      <c r="A25" s="6" t="s">
        <v>11</v>
      </c>
      <c r="B25" s="13"/>
      <c r="C25" s="13"/>
      <c r="D25" s="14" t="str">
        <f t="shared" si="2"/>
        <v/>
      </c>
      <c r="E25" s="15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ht="15.75" x14ac:dyDescent="0.25">
      <c r="A26" s="9" t="s">
        <v>27</v>
      </c>
      <c r="B26" s="10">
        <v>46349</v>
      </c>
      <c r="C26" s="10">
        <v>46353</v>
      </c>
      <c r="D26" s="11">
        <f t="shared" si="2"/>
        <v>4</v>
      </c>
      <c r="E26" s="12">
        <v>0.3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 ht="15.75" x14ac:dyDescent="0.25">
      <c r="A27" s="9" t="s">
        <v>28</v>
      </c>
      <c r="B27" s="10">
        <v>46354</v>
      </c>
      <c r="C27" s="10">
        <v>46356</v>
      </c>
      <c r="D27" s="11">
        <f t="shared" si="2"/>
        <v>2</v>
      </c>
      <c r="E27" s="12">
        <v>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 ht="15.75" x14ac:dyDescent="0.25">
      <c r="A28" s="9"/>
      <c r="B28" s="11"/>
      <c r="C28" s="11"/>
      <c r="D28" s="11" t="str">
        <f t="shared" si="2"/>
        <v/>
      </c>
      <c r="E28" s="12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ht="15.75" x14ac:dyDescent="0.25">
      <c r="A29" s="16" t="s">
        <v>13</v>
      </c>
      <c r="B29" s="20">
        <v>46357</v>
      </c>
      <c r="C29" s="20">
        <v>46361</v>
      </c>
      <c r="D29" s="11">
        <f t="shared" si="2"/>
        <v>4</v>
      </c>
      <c r="E29" s="12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 s="1" customFormat="1" ht="15.75" x14ac:dyDescent="0.25">
      <c r="A30" s="6" t="s">
        <v>12</v>
      </c>
      <c r="B30" s="13"/>
      <c r="C30" s="13"/>
      <c r="D30" s="14" t="str">
        <f t="shared" si="2"/>
        <v/>
      </c>
      <c r="E30" s="15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23" ht="15.75" x14ac:dyDescent="0.25">
      <c r="A31" s="9" t="s">
        <v>29</v>
      </c>
      <c r="B31" s="10">
        <v>46363</v>
      </c>
      <c r="C31" s="10">
        <v>46367</v>
      </c>
      <c r="D31" s="11">
        <f t="shared" si="2"/>
        <v>4</v>
      </c>
      <c r="E31" s="12">
        <v>0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 ht="15.75" x14ac:dyDescent="0.25">
      <c r="A32" s="9" t="s">
        <v>30</v>
      </c>
      <c r="B32" s="10">
        <v>46368</v>
      </c>
      <c r="C32" s="10">
        <v>46374</v>
      </c>
      <c r="D32" s="11">
        <f t="shared" si="2"/>
        <v>6</v>
      </c>
      <c r="E32" s="12">
        <v>0.5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</sheetData>
  <mergeCells count="1">
    <mergeCell ref="A1:W1"/>
  </mergeCells>
  <conditionalFormatting sqref="E11:E32">
    <cfRule type="dataBar" priority="4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{5AD19B52-025C-4BFF-9AED-2C82185AD96B}</x14:id>
        </ext>
      </extLst>
    </cfRule>
  </conditionalFormatting>
  <conditionalFormatting sqref="F8:W32">
    <cfRule type="expression" dxfId="2" priority="1">
      <formula>F$9=$B$6</formula>
    </cfRule>
  </conditionalFormatting>
  <conditionalFormatting sqref="F11:W32">
    <cfRule type="expression" dxfId="1" priority="3">
      <formula>AND(F$8&gt;=$B11,F$8&lt;=$B11+($D11*$E11)-1)</formula>
    </cfRule>
    <cfRule type="expression" dxfId="0" priority="7">
      <formula>AND(F$8&gt;=$B11,F$8&lt;=$C11)</formula>
    </cfRule>
  </conditionalFormatting>
  <pageMargins left="0" right="0" top="0" bottom="0" header="0" footer="0"/>
  <pageSetup paperSize="9" fitToWidth="0" orientation="landscape" horizontalDpi="360" verticalDpi="36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D19B52-025C-4BFF-9AED-2C82185AD96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E11:E32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Cetrin Jr. Valdeheuza</dc:creator>
  <cp:lastModifiedBy>Cetrin Jr. Valdeheuza</cp:lastModifiedBy>
  <cp:lastPrinted>2026-09-20T23:21:44Z</cp:lastPrinted>
  <dcterms:created xsi:type="dcterms:W3CDTF">2026-08-23T14:31:21Z</dcterms:created>
  <dcterms:modified xsi:type="dcterms:W3CDTF">2026-10-18T17:25:42Z</dcterms:modified>
</cp:coreProperties>
</file>